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izmi0\Downloads\IBM Data Analyst\GitHub\"/>
    </mc:Choice>
  </mc:AlternateContent>
  <xr:revisionPtr revIDLastSave="0" documentId="13_ncr:1_{A71BC82D-1094-459C-81A1-90683C710CFD}" xr6:coauthVersionLast="47" xr6:coauthVersionMax="47" xr10:uidLastSave="{00000000-0000-0000-0000-000000000000}"/>
  <bookViews>
    <workbookView xWindow="-110" yWindow="-110" windowWidth="19420" windowHeight="10300" activeTab="1" xr2:uid="{00000000-000D-0000-FFFF-FFFF00000000}"/>
  </bookViews>
  <sheets>
    <sheet name="Guidelines " sheetId="6" r:id="rId1"/>
    <sheet name="Montgomery_Fleet_Equipment_Inve" sheetId="1" r:id="rId2"/>
    <sheet name="Pivot1" sheetId="2" r:id="rId3"/>
    <sheet name="Pivot2" sheetId="5" r:id="rId4"/>
    <sheet name="Pivot3" sheetId="4" r:id="rId5"/>
  </sheets>
  <definedNames>
    <definedName name="_xlnm._FilterDatabase" localSheetId="1" hidden="1">Montgomery_Fleet_Equipment_Inve!$A$1:$C$50</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1" l="1"/>
  <c r="F5" i="1"/>
  <c r="F4" i="1"/>
  <c r="F3" i="1"/>
  <c r="F2" i="1"/>
  <c r="C1048574" i="1" l="1"/>
</calcChain>
</file>

<file path=xl/sharedStrings.xml><?xml version="1.0" encoding="utf-8"?>
<sst xmlns="http://schemas.openxmlformats.org/spreadsheetml/2006/main" count="199" uniqueCount="50">
  <si>
    <t>Department</t>
  </si>
  <si>
    <t>Equipment Class</t>
  </si>
  <si>
    <t>Equipment Count</t>
  </si>
  <si>
    <t>Public Safety SUV</t>
  </si>
  <si>
    <t>Sedan</t>
  </si>
  <si>
    <t>Housing and Community Affairs</t>
  </si>
  <si>
    <t>Pick Up Trucks</t>
  </si>
  <si>
    <t>SUV</t>
  </si>
  <si>
    <t>Human Rights</t>
  </si>
  <si>
    <t>Libraries</t>
  </si>
  <si>
    <t>Van</t>
  </si>
  <si>
    <t>Medium Duty</t>
  </si>
  <si>
    <t>Liquor Control</t>
  </si>
  <si>
    <t>Heavy Duty</t>
  </si>
  <si>
    <t>Office Of Homeland Security</t>
  </si>
  <si>
    <t>Permitting Services</t>
  </si>
  <si>
    <t>CUV</t>
  </si>
  <si>
    <t>Public Information Office</t>
  </si>
  <si>
    <t>Recreation</t>
  </si>
  <si>
    <t>Sheriffs Office</t>
  </si>
  <si>
    <t>Public Safety Van</t>
  </si>
  <si>
    <t>Public Safety CUV</t>
  </si>
  <si>
    <t>Public Safety Sedan</t>
  </si>
  <si>
    <t>Public Safety Pick Up Trucks</t>
  </si>
  <si>
    <t>State Attorneys Office</t>
  </si>
  <si>
    <t>Technology Services</t>
  </si>
  <si>
    <t>Transportation</t>
  </si>
  <si>
    <t>Transit Bus</t>
  </si>
  <si>
    <t>Off Road Vehicle Equipment</t>
  </si>
  <si>
    <t>Grand Total</t>
  </si>
  <si>
    <t>Sum of Equipment Count</t>
  </si>
  <si>
    <t>SUM</t>
  </si>
  <si>
    <t>AVERAGE</t>
  </si>
  <si>
    <t>MIN</t>
  </si>
  <si>
    <t>MAX</t>
  </si>
  <si>
    <t>COUNT</t>
  </si>
  <si>
    <t>AutoSum</t>
  </si>
  <si>
    <t>Calc</t>
  </si>
  <si>
    <t>Tasks to perform:</t>
  </si>
  <si>
    <t>In pivot table 2 add the Equipment Class field below the Department field so that the different vehicle types appear under each department with their respective counts.</t>
  </si>
  <si>
    <t>In pivot table 3 add the Equipment Class field above the Department field so that the different vehicle types appear first, with the different departments listed underneath each vehicle type with their respective counts.</t>
  </si>
  <si>
    <r>
      <t>1. Format the data as a table:</t>
    </r>
    <r>
      <rPr>
        <sz val="11"/>
        <color rgb="FF333333"/>
        <rFont val="Arial"/>
        <family val="2"/>
      </rPr>
      <t> Use the Format as Table option to format the data as a table.</t>
    </r>
  </si>
  <si>
    <r>
      <t>2. Use AutoSum to calculate values:</t>
    </r>
    <r>
      <rPr>
        <sz val="11"/>
        <color rgb="FF333333"/>
        <rFont val="Arial"/>
        <family val="2"/>
      </rPr>
      <t> Use AutoSum to find the following values for column ‘C’ and record each of the values:</t>
    </r>
  </si>
  <si>
    <r>
      <t>3. Create a Pivot Table:</t>
    </r>
    <r>
      <rPr>
        <sz val="11"/>
        <color rgb="FF333333"/>
        <rFont val="Arial"/>
        <family val="2"/>
      </rPr>
      <t> Use the PivotTable feature to create a pivot table that displays the Department field in the Rows section, and the Equipment Count in the Values section, so that the pivot table displays the sum of equipment count by department.</t>
    </r>
  </si>
  <si>
    <r>
      <t>4. Sort the pivot table data:</t>
    </r>
    <r>
      <rPr>
        <sz val="11"/>
        <color rgb="FF333333"/>
        <rFont val="Arial"/>
        <family val="2"/>
      </rPr>
      <t> Use the Sort By Value setting on the pivot table to sort it in descending order by the sum of equipment count.</t>
    </r>
  </si>
  <si>
    <r>
      <t>5. Make two more pivot tables exactly the same as task 3:</t>
    </r>
    <r>
      <rPr>
        <sz val="11"/>
        <color rgb="FF333333"/>
        <rFont val="Arial"/>
        <family val="2"/>
      </rPr>
      <t> Follow the same steps you performed in Tasks 3 and 4 to create two more identical pivot tables so that you end up with 3 worksheets that contain identical pivot tables.</t>
    </r>
  </si>
  <si>
    <r>
      <t>6. Analyze data in the pivot table:</t>
    </r>
    <r>
      <rPr>
        <sz val="11"/>
        <color rgb="FF333333"/>
        <rFont val="Arial"/>
        <family val="2"/>
      </rPr>
      <t> Use the PivotTable Fields pane to manipulate and analyze data in the two copied pivot table as follows:</t>
    </r>
  </si>
  <si>
    <r>
      <t>Collapse all fields except the top one - </t>
    </r>
    <r>
      <rPr>
        <b/>
        <sz val="11"/>
        <color rgb="FF333333"/>
        <rFont val="Arial"/>
        <family val="2"/>
      </rPr>
      <t>Transportation</t>
    </r>
  </si>
  <si>
    <r>
      <t>Collapse all fields except the top one - </t>
    </r>
    <r>
      <rPr>
        <b/>
        <sz val="11"/>
        <color rgb="FF333333"/>
        <rFont val="Arial"/>
        <family val="2"/>
      </rPr>
      <t>CUV</t>
    </r>
  </si>
  <si>
    <t>Peer-Graded Assignment: Final Assignment – Part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</si>
</sst>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33333"/>
      <name val="Arial"/>
      <family val="2"/>
    </font>
    <font>
      <b/>
      <sz val="11"/>
      <color rgb="FF333333"/>
      <name val="Arial"/>
      <family val="2"/>
    </font>
    <font>
      <b/>
      <sz val="24.75"/>
      <color rgb="FF333333"/>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applyAlignment="1">
      <alignment horizontal="left" vertical="center"/>
    </xf>
    <xf numFmtId="0" fontId="19" fillId="0" borderId="0" xfId="0" applyFont="1" applyAlignment="1">
      <alignment horizontal="left" vertical="center"/>
    </xf>
    <xf numFmtId="0" fontId="18" fillId="0" borderId="0" xfId="0" applyFont="1" applyAlignment="1">
      <alignment horizontal="left" vertical="center" indent="2"/>
    </xf>
    <xf numFmtId="0" fontId="20" fillId="0" borderId="0" xfId="0" applyFont="1" applyAlignment="1">
      <alignment horizontal="left"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i Ana" refreshedDate="45955.525350694443" createdVersion="8" refreshedVersion="8" minRefreshableVersion="3" recordCount="49" xr:uid="{A86F9D97-C0B9-4A62-9242-A3738A919CB5}">
  <cacheSource type="worksheet">
    <worksheetSource name="Table1"/>
  </cacheSource>
  <cacheFields count="3">
    <cacheField name="Department" numFmtId="0">
      <sharedItems count="12">
        <s v="Housing and Community Affairs"/>
        <s v="Human Rights"/>
        <s v="Libraries"/>
        <s v="Liquor Control"/>
        <s v="Office Of Homeland Security"/>
        <s v="Permitting Services"/>
        <s v="Public Information Office"/>
        <s v="Recreation"/>
        <s v="Sheriffs Office"/>
        <s v="State Attorneys Office"/>
        <s v="Technology Services"/>
        <s v="Transportation"/>
      </sharedItems>
    </cacheField>
    <cacheField name="Equipment Class" numFmtId="0">
      <sharedItems count="14">
        <s v="Pick Up Trucks"/>
        <s v="SUV"/>
        <s v="Sedan"/>
        <s v="Van"/>
        <s v="Medium Duty"/>
        <s v="Heavy Duty"/>
        <s v="CUV"/>
        <s v="Off Road Vehicle Equipment"/>
        <s v="Public Safety SUV"/>
        <s v="Public Safety Van"/>
        <s v="Public Safety CUV"/>
        <s v="Public Safety Sedan"/>
        <s v="Public Safety Pick Up Trucks"/>
        <s v="Transit Bus"/>
      </sharedItems>
    </cacheField>
    <cacheField name="Equipment Count" numFmtId="0">
      <sharedItems containsSemiMixedTypes="0" containsString="0" containsNumber="1" containsInteger="1" minValue="1" maxValue="37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n v="21"/>
  </r>
  <r>
    <x v="0"/>
    <x v="1"/>
    <n v="1"/>
  </r>
  <r>
    <x v="0"/>
    <x v="2"/>
    <n v="23"/>
  </r>
  <r>
    <x v="1"/>
    <x v="2"/>
    <n v="2"/>
  </r>
  <r>
    <x v="2"/>
    <x v="0"/>
    <n v="3"/>
  </r>
  <r>
    <x v="2"/>
    <x v="3"/>
    <n v="2"/>
  </r>
  <r>
    <x v="2"/>
    <x v="4"/>
    <n v="1"/>
  </r>
  <r>
    <x v="3"/>
    <x v="3"/>
    <n v="2"/>
  </r>
  <r>
    <x v="3"/>
    <x v="5"/>
    <n v="42"/>
  </r>
  <r>
    <x v="3"/>
    <x v="1"/>
    <n v="1"/>
  </r>
  <r>
    <x v="3"/>
    <x v="2"/>
    <n v="11"/>
  </r>
  <r>
    <x v="4"/>
    <x v="1"/>
    <n v="1"/>
  </r>
  <r>
    <x v="5"/>
    <x v="6"/>
    <n v="9"/>
  </r>
  <r>
    <x v="5"/>
    <x v="1"/>
    <n v="27"/>
  </r>
  <r>
    <x v="5"/>
    <x v="0"/>
    <n v="24"/>
  </r>
  <r>
    <x v="5"/>
    <x v="3"/>
    <n v="1"/>
  </r>
  <r>
    <x v="5"/>
    <x v="2"/>
    <n v="48"/>
  </r>
  <r>
    <x v="6"/>
    <x v="3"/>
    <n v="1"/>
  </r>
  <r>
    <x v="7"/>
    <x v="2"/>
    <n v="6"/>
  </r>
  <r>
    <x v="7"/>
    <x v="0"/>
    <n v="5"/>
  </r>
  <r>
    <x v="7"/>
    <x v="1"/>
    <n v="2"/>
  </r>
  <r>
    <x v="7"/>
    <x v="3"/>
    <n v="15"/>
  </r>
  <r>
    <x v="7"/>
    <x v="7"/>
    <n v="7"/>
  </r>
  <r>
    <x v="8"/>
    <x v="8"/>
    <n v="20"/>
  </r>
  <r>
    <x v="8"/>
    <x v="2"/>
    <n v="1"/>
  </r>
  <r>
    <x v="8"/>
    <x v="4"/>
    <n v="1"/>
  </r>
  <r>
    <x v="8"/>
    <x v="0"/>
    <n v="3"/>
  </r>
  <r>
    <x v="8"/>
    <x v="1"/>
    <n v="1"/>
  </r>
  <r>
    <x v="8"/>
    <x v="9"/>
    <n v="8"/>
  </r>
  <r>
    <x v="8"/>
    <x v="10"/>
    <n v="4"/>
  </r>
  <r>
    <x v="8"/>
    <x v="11"/>
    <n v="46"/>
  </r>
  <r>
    <x v="8"/>
    <x v="12"/>
    <n v="1"/>
  </r>
  <r>
    <x v="9"/>
    <x v="11"/>
    <n v="1"/>
  </r>
  <r>
    <x v="9"/>
    <x v="3"/>
    <n v="1"/>
  </r>
  <r>
    <x v="9"/>
    <x v="1"/>
    <n v="1"/>
  </r>
  <r>
    <x v="9"/>
    <x v="2"/>
    <n v="2"/>
  </r>
  <r>
    <x v="10"/>
    <x v="0"/>
    <n v="1"/>
  </r>
  <r>
    <x v="10"/>
    <x v="6"/>
    <n v="1"/>
  </r>
  <r>
    <x v="10"/>
    <x v="3"/>
    <n v="11"/>
  </r>
  <r>
    <x v="10"/>
    <x v="1"/>
    <n v="3"/>
  </r>
  <r>
    <x v="11"/>
    <x v="0"/>
    <n v="93"/>
  </r>
  <r>
    <x v="11"/>
    <x v="5"/>
    <n v="248"/>
  </r>
  <r>
    <x v="11"/>
    <x v="13"/>
    <n v="379"/>
  </r>
  <r>
    <x v="11"/>
    <x v="1"/>
    <n v="53"/>
  </r>
  <r>
    <x v="11"/>
    <x v="3"/>
    <n v="32"/>
  </r>
  <r>
    <x v="11"/>
    <x v="4"/>
    <n v="98"/>
  </r>
  <r>
    <x v="11"/>
    <x v="7"/>
    <n v="276"/>
  </r>
  <r>
    <x v="11"/>
    <x v="6"/>
    <n v="5"/>
  </r>
  <r>
    <x v="11"/>
    <x v="2"/>
    <n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0CE3AE-38DE-48B9-8DA4-F241303988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D3:E16" firstHeaderRow="1" firstDataRow="1" firstDataCol="1"/>
  <pivotFields count="3">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0"/>
  </rowFields>
  <rowItems count="13">
    <i>
      <x v="11"/>
    </i>
    <i>
      <x v="5"/>
    </i>
    <i>
      <x v="8"/>
    </i>
    <i>
      <x v="3"/>
    </i>
    <i>
      <x/>
    </i>
    <i>
      <x v="7"/>
    </i>
    <i>
      <x v="10"/>
    </i>
    <i>
      <x v="2"/>
    </i>
    <i>
      <x v="9"/>
    </i>
    <i>
      <x v="1"/>
    </i>
    <i>
      <x v="4"/>
    </i>
    <i>
      <x v="6"/>
    </i>
    <i t="grand">
      <x/>
    </i>
  </rowItems>
  <colItems count="1">
    <i/>
  </colItems>
  <dataFields count="1">
    <dataField name="Sum of Equipment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7E176A-30D0-456E-BEAD-8829B51FCD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16" firstHeaderRow="1" firstDataRow="1" firstDataCol="1"/>
  <pivotFields count="3">
    <pivotField axis="axisRow" showAll="0" sortType="ascending">
      <items count="13">
        <item x="0"/>
        <item x="1"/>
        <item x="2"/>
        <item x="3"/>
        <item x="4"/>
        <item x="5"/>
        <item x="6"/>
        <item x="7"/>
        <item x="8"/>
        <item x="9"/>
        <item x="10"/>
        <item x="11"/>
        <item t="default"/>
      </items>
    </pivotField>
    <pivotField showAll="0"/>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Equipment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50F847-C846-44B6-9A23-E004377442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25" firstHeaderRow="1" firstDataRow="1" firstDataCol="1"/>
  <pivotFields count="3">
    <pivotField axis="axisRow" showAll="0" sortType="descending">
      <items count="13">
        <item sd="0" x="0"/>
        <item sd="0" x="1"/>
        <item sd="0" x="2"/>
        <item sd="0" x="3"/>
        <item sd="0" x="4"/>
        <item sd="0" x="5"/>
        <item sd="0" x="6"/>
        <item sd="0" x="7"/>
        <item sd="0" x="8"/>
        <item sd="0" x="9"/>
        <item sd="0" x="10"/>
        <item x="11"/>
        <item t="default"/>
      </items>
      <autoSortScope>
        <pivotArea dataOnly="0" outline="0" fieldPosition="0">
          <references count="1">
            <reference field="4294967294" count="1" selected="0">
              <x v="0"/>
            </reference>
          </references>
        </pivotArea>
      </autoSortScope>
    </pivotField>
    <pivotField axis="axisRow" showAll="0">
      <items count="15">
        <item x="6"/>
        <item x="5"/>
        <item x="4"/>
        <item x="7"/>
        <item x="0"/>
        <item x="10"/>
        <item x="12"/>
        <item x="11"/>
        <item x="8"/>
        <item x="9"/>
        <item x="2"/>
        <item x="1"/>
        <item x="13"/>
        <item x="3"/>
        <item t="default"/>
      </items>
    </pivotField>
    <pivotField dataField="1" showAll="0"/>
  </pivotFields>
  <rowFields count="2">
    <field x="0"/>
    <field x="1"/>
  </rowFields>
  <rowItems count="22">
    <i>
      <x v="11"/>
    </i>
    <i r="1">
      <x/>
    </i>
    <i r="1">
      <x v="1"/>
    </i>
    <i r="1">
      <x v="2"/>
    </i>
    <i r="1">
      <x v="3"/>
    </i>
    <i r="1">
      <x v="4"/>
    </i>
    <i r="1">
      <x v="10"/>
    </i>
    <i r="1">
      <x v="11"/>
    </i>
    <i r="1">
      <x v="12"/>
    </i>
    <i r="1">
      <x v="13"/>
    </i>
    <i>
      <x v="5"/>
    </i>
    <i>
      <x v="8"/>
    </i>
    <i>
      <x v="3"/>
    </i>
    <i>
      <x/>
    </i>
    <i>
      <x v="7"/>
    </i>
    <i>
      <x v="10"/>
    </i>
    <i>
      <x v="2"/>
    </i>
    <i>
      <x v="9"/>
    </i>
    <i>
      <x v="1"/>
    </i>
    <i>
      <x v="4"/>
    </i>
    <i>
      <x v="6"/>
    </i>
    <i t="grand">
      <x/>
    </i>
  </rowItems>
  <colItems count="1">
    <i/>
  </colItems>
  <dataFields count="1">
    <dataField name="Sum of Equipment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5C56FA-04B8-4164-B64A-67A21338A0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21" firstHeaderRow="1" firstDataRow="1" firstDataCol="1"/>
  <pivotFields count="3">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Row" showAll="0">
      <items count="15">
        <item x="6"/>
        <item sd="0" x="5"/>
        <item sd="0" x="4"/>
        <item sd="0" x="7"/>
        <item sd="0" x="0"/>
        <item sd="0" x="10"/>
        <item sd="0" x="12"/>
        <item sd="0" x="11"/>
        <item sd="0" x="8"/>
        <item sd="0" x="9"/>
        <item sd="0" x="2"/>
        <item sd="0" x="1"/>
        <item sd="0" x="13"/>
        <item sd="0" x="3"/>
        <item t="default" sd="0"/>
      </items>
    </pivotField>
    <pivotField dataField="1" showAll="0"/>
  </pivotFields>
  <rowFields count="2">
    <field x="1"/>
    <field x="0"/>
  </rowFields>
  <rowItems count="18">
    <i>
      <x/>
    </i>
    <i r="1">
      <x v="5"/>
    </i>
    <i r="1">
      <x v="11"/>
    </i>
    <i r="1">
      <x v="10"/>
    </i>
    <i>
      <x v="1"/>
    </i>
    <i>
      <x v="2"/>
    </i>
    <i>
      <x v="3"/>
    </i>
    <i>
      <x v="4"/>
    </i>
    <i>
      <x v="5"/>
    </i>
    <i>
      <x v="6"/>
    </i>
    <i>
      <x v="7"/>
    </i>
    <i>
      <x v="8"/>
    </i>
    <i>
      <x v="9"/>
    </i>
    <i>
      <x v="10"/>
    </i>
    <i>
      <x v="11"/>
    </i>
    <i>
      <x v="12"/>
    </i>
    <i>
      <x v="13"/>
    </i>
    <i t="grand">
      <x/>
    </i>
  </rowItems>
  <colItems count="1">
    <i/>
  </colItems>
  <dataFields count="1">
    <dataField name="Sum of Equipment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24DB4C-DFEA-483D-8E0F-2F5888A7666A}" name="Table1" displayName="Table1" ref="A1:C50" totalsRowShown="0">
  <autoFilter ref="A1:C50" xr:uid="{E624DB4C-DFEA-483D-8E0F-2F5888A7666A}"/>
  <tableColumns count="3">
    <tableColumn id="1" xr3:uid="{3AD63EFC-C47E-4019-8052-B26A9633CE14}" name="Department"/>
    <tableColumn id="2" xr3:uid="{0A36304A-3D73-4A0A-A74E-52392DE1AF4A}" name="Equipment Class"/>
    <tableColumn id="3" xr3:uid="{092A5AEE-C8AD-40B0-BEDD-3F6A20DF0C87}" name="Equipment Cou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AD3F-560C-4E93-B755-DA016E273133}">
  <sheetPr>
    <tabColor rgb="FFFFFF00"/>
  </sheetPr>
  <dimension ref="A1:N18"/>
  <sheetViews>
    <sheetView showGridLines="0" zoomScale="90" zoomScaleNormal="90" workbookViewId="0">
      <selection activeCell="E10" sqref="E10"/>
    </sheetView>
  </sheetViews>
  <sheetFormatPr defaultRowHeight="14.5" x14ac:dyDescent="0.35"/>
  <sheetData>
    <row r="1" spans="1:14" ht="31.5" x14ac:dyDescent="0.35">
      <c r="A1" s="8" t="s">
        <v>49</v>
      </c>
      <c r="B1" s="8"/>
      <c r="C1" s="8"/>
      <c r="D1" s="8"/>
      <c r="E1" s="8"/>
      <c r="F1" s="8"/>
      <c r="G1" s="8"/>
      <c r="H1" s="8"/>
      <c r="I1" s="8"/>
      <c r="J1" s="8"/>
      <c r="K1" s="8"/>
      <c r="L1" s="8"/>
      <c r="M1" s="8"/>
      <c r="N1" s="8"/>
    </row>
    <row r="2" spans="1:14" ht="14.5" customHeight="1" x14ac:dyDescent="0.35">
      <c r="A2" s="7"/>
    </row>
    <row r="3" spans="1:14" x14ac:dyDescent="0.35">
      <c r="A3" s="4" t="s">
        <v>38</v>
      </c>
    </row>
    <row r="4" spans="1:14" x14ac:dyDescent="0.35">
      <c r="A4" s="5" t="s">
        <v>41</v>
      </c>
    </row>
    <row r="5" spans="1:14" x14ac:dyDescent="0.35">
      <c r="A5" s="5" t="s">
        <v>42</v>
      </c>
    </row>
    <row r="6" spans="1:14" x14ac:dyDescent="0.35">
      <c r="A6" s="6" t="s">
        <v>31</v>
      </c>
    </row>
    <row r="7" spans="1:14" x14ac:dyDescent="0.35">
      <c r="A7" s="6" t="s">
        <v>32</v>
      </c>
    </row>
    <row r="8" spans="1:14" x14ac:dyDescent="0.35">
      <c r="A8" s="6" t="s">
        <v>33</v>
      </c>
    </row>
    <row r="9" spans="1:14" x14ac:dyDescent="0.35">
      <c r="A9" s="6" t="s">
        <v>34</v>
      </c>
    </row>
    <row r="10" spans="1:14" x14ac:dyDescent="0.35">
      <c r="A10" s="6" t="s">
        <v>35</v>
      </c>
    </row>
    <row r="11" spans="1:14" x14ac:dyDescent="0.35">
      <c r="A11" s="5" t="s">
        <v>43</v>
      </c>
    </row>
    <row r="12" spans="1:14" x14ac:dyDescent="0.35">
      <c r="A12" s="5" t="s">
        <v>44</v>
      </c>
    </row>
    <row r="13" spans="1:14" x14ac:dyDescent="0.35">
      <c r="A13" s="5" t="s">
        <v>45</v>
      </c>
    </row>
    <row r="14" spans="1:14" x14ac:dyDescent="0.35">
      <c r="A14" s="5" t="s">
        <v>46</v>
      </c>
    </row>
    <row r="15" spans="1:14" x14ac:dyDescent="0.35">
      <c r="A15" s="6" t="s">
        <v>39</v>
      </c>
    </row>
    <row r="16" spans="1:14" x14ac:dyDescent="0.35">
      <c r="A16" s="6" t="s">
        <v>47</v>
      </c>
    </row>
    <row r="17" spans="1:1" x14ac:dyDescent="0.35">
      <c r="A17" s="6" t="s">
        <v>40</v>
      </c>
    </row>
    <row r="18" spans="1:1" x14ac:dyDescent="0.35">
      <c r="A18" s="6" t="s">
        <v>48</v>
      </c>
    </row>
  </sheetData>
  <mergeCells count="1">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48574"/>
  <sheetViews>
    <sheetView tabSelected="1" workbookViewId="0">
      <selection activeCell="E9" sqref="E9"/>
    </sheetView>
  </sheetViews>
  <sheetFormatPr defaultRowHeight="14.5" x14ac:dyDescent="0.35"/>
  <cols>
    <col min="1" max="1" width="29.453125" bestFit="1" customWidth="1"/>
    <col min="2" max="2" width="26.1796875" bestFit="1" customWidth="1"/>
    <col min="3" max="3" width="17.36328125" customWidth="1"/>
    <col min="6" max="6" width="11.81640625" bestFit="1" customWidth="1"/>
  </cols>
  <sheetData>
    <row r="1" spans="1:6" x14ac:dyDescent="0.35">
      <c r="A1" t="s">
        <v>0</v>
      </c>
      <c r="B1" t="s">
        <v>1</v>
      </c>
      <c r="C1" t="s">
        <v>2</v>
      </c>
      <c r="E1" t="s">
        <v>36</v>
      </c>
      <c r="F1" t="s">
        <v>37</v>
      </c>
    </row>
    <row r="2" spans="1:6" x14ac:dyDescent="0.35">
      <c r="A2" t="s">
        <v>5</v>
      </c>
      <c r="B2" t="s">
        <v>6</v>
      </c>
      <c r="C2">
        <v>21</v>
      </c>
      <c r="E2" t="s">
        <v>31</v>
      </c>
      <c r="F2">
        <f>SUM(Table1[Equipment Count])</f>
        <v>1582</v>
      </c>
    </row>
    <row r="3" spans="1:6" x14ac:dyDescent="0.35">
      <c r="A3" t="s">
        <v>5</v>
      </c>
      <c r="B3" t="s">
        <v>7</v>
      </c>
      <c r="C3">
        <v>1</v>
      </c>
      <c r="E3" t="s">
        <v>32</v>
      </c>
      <c r="F3">
        <f>AVERAGE(Table1[Equipment Count])</f>
        <v>32.285714285714285</v>
      </c>
    </row>
    <row r="4" spans="1:6" x14ac:dyDescent="0.35">
      <c r="A4" t="s">
        <v>5</v>
      </c>
      <c r="B4" t="s">
        <v>4</v>
      </c>
      <c r="C4">
        <v>23</v>
      </c>
      <c r="E4" t="s">
        <v>33</v>
      </c>
      <c r="F4">
        <f>MIN(Table1[Equipment Count])</f>
        <v>1</v>
      </c>
    </row>
    <row r="5" spans="1:6" x14ac:dyDescent="0.35">
      <c r="A5" t="s">
        <v>8</v>
      </c>
      <c r="B5" t="s">
        <v>4</v>
      </c>
      <c r="C5">
        <v>2</v>
      </c>
      <c r="E5" t="s">
        <v>34</v>
      </c>
      <c r="F5">
        <f>MAX(Table1[Equipment Count])</f>
        <v>379</v>
      </c>
    </row>
    <row r="6" spans="1:6" x14ac:dyDescent="0.35">
      <c r="A6" t="s">
        <v>9</v>
      </c>
      <c r="B6" t="s">
        <v>6</v>
      </c>
      <c r="C6">
        <v>3</v>
      </c>
      <c r="E6" t="s">
        <v>35</v>
      </c>
      <c r="F6">
        <f>COUNT(Table1[Equipment Count])</f>
        <v>49</v>
      </c>
    </row>
    <row r="7" spans="1:6" x14ac:dyDescent="0.35">
      <c r="A7" t="s">
        <v>9</v>
      </c>
      <c r="B7" t="s">
        <v>10</v>
      </c>
      <c r="C7">
        <v>2</v>
      </c>
    </row>
    <row r="8" spans="1:6" x14ac:dyDescent="0.35">
      <c r="A8" t="s">
        <v>9</v>
      </c>
      <c r="B8" t="s">
        <v>11</v>
      </c>
      <c r="C8">
        <v>1</v>
      </c>
    </row>
    <row r="9" spans="1:6" x14ac:dyDescent="0.35">
      <c r="A9" t="s">
        <v>12</v>
      </c>
      <c r="B9" t="s">
        <v>10</v>
      </c>
      <c r="C9">
        <v>2</v>
      </c>
    </row>
    <row r="10" spans="1:6" x14ac:dyDescent="0.35">
      <c r="A10" t="s">
        <v>12</v>
      </c>
      <c r="B10" t="s">
        <v>13</v>
      </c>
      <c r="C10">
        <v>42</v>
      </c>
    </row>
    <row r="11" spans="1:6" x14ac:dyDescent="0.35">
      <c r="A11" t="s">
        <v>12</v>
      </c>
      <c r="B11" t="s">
        <v>7</v>
      </c>
      <c r="C11">
        <v>1</v>
      </c>
    </row>
    <row r="12" spans="1:6" x14ac:dyDescent="0.35">
      <c r="A12" t="s">
        <v>12</v>
      </c>
      <c r="B12" t="s">
        <v>4</v>
      </c>
      <c r="C12">
        <v>11</v>
      </c>
    </row>
    <row r="13" spans="1:6" x14ac:dyDescent="0.35">
      <c r="A13" t="s">
        <v>14</v>
      </c>
      <c r="B13" t="s">
        <v>7</v>
      </c>
      <c r="C13">
        <v>1</v>
      </c>
    </row>
    <row r="14" spans="1:6" x14ac:dyDescent="0.35">
      <c r="A14" t="s">
        <v>15</v>
      </c>
      <c r="B14" t="s">
        <v>16</v>
      </c>
      <c r="C14">
        <v>9</v>
      </c>
    </row>
    <row r="15" spans="1:6" x14ac:dyDescent="0.35">
      <c r="A15" t="s">
        <v>15</v>
      </c>
      <c r="B15" t="s">
        <v>7</v>
      </c>
      <c r="C15">
        <v>27</v>
      </c>
    </row>
    <row r="16" spans="1:6" x14ac:dyDescent="0.35">
      <c r="A16" t="s">
        <v>15</v>
      </c>
      <c r="B16" t="s">
        <v>6</v>
      </c>
      <c r="C16">
        <v>24</v>
      </c>
    </row>
    <row r="17" spans="1:3" x14ac:dyDescent="0.35">
      <c r="A17" t="s">
        <v>15</v>
      </c>
      <c r="B17" t="s">
        <v>10</v>
      </c>
      <c r="C17">
        <v>1</v>
      </c>
    </row>
    <row r="18" spans="1:3" x14ac:dyDescent="0.35">
      <c r="A18" t="s">
        <v>15</v>
      </c>
      <c r="B18" t="s">
        <v>4</v>
      </c>
      <c r="C18">
        <v>48</v>
      </c>
    </row>
    <row r="19" spans="1:3" x14ac:dyDescent="0.35">
      <c r="A19" t="s">
        <v>17</v>
      </c>
      <c r="B19" t="s">
        <v>10</v>
      </c>
      <c r="C19">
        <v>1</v>
      </c>
    </row>
    <row r="20" spans="1:3" x14ac:dyDescent="0.35">
      <c r="A20" t="s">
        <v>18</v>
      </c>
      <c r="B20" t="s">
        <v>4</v>
      </c>
      <c r="C20">
        <v>6</v>
      </c>
    </row>
    <row r="21" spans="1:3" x14ac:dyDescent="0.35">
      <c r="A21" t="s">
        <v>18</v>
      </c>
      <c r="B21" t="s">
        <v>6</v>
      </c>
      <c r="C21">
        <v>5</v>
      </c>
    </row>
    <row r="22" spans="1:3" x14ac:dyDescent="0.35">
      <c r="A22" t="s">
        <v>18</v>
      </c>
      <c r="B22" t="s">
        <v>7</v>
      </c>
      <c r="C22">
        <v>2</v>
      </c>
    </row>
    <row r="23" spans="1:3" x14ac:dyDescent="0.35">
      <c r="A23" t="s">
        <v>18</v>
      </c>
      <c r="B23" t="s">
        <v>10</v>
      </c>
      <c r="C23">
        <v>15</v>
      </c>
    </row>
    <row r="24" spans="1:3" x14ac:dyDescent="0.35">
      <c r="A24" t="s">
        <v>18</v>
      </c>
      <c r="B24" t="s">
        <v>28</v>
      </c>
      <c r="C24">
        <v>7</v>
      </c>
    </row>
    <row r="25" spans="1:3" x14ac:dyDescent="0.35">
      <c r="A25" t="s">
        <v>19</v>
      </c>
      <c r="B25" t="s">
        <v>3</v>
      </c>
      <c r="C25">
        <v>20</v>
      </c>
    </row>
    <row r="26" spans="1:3" x14ac:dyDescent="0.35">
      <c r="A26" t="s">
        <v>19</v>
      </c>
      <c r="B26" t="s">
        <v>4</v>
      </c>
      <c r="C26">
        <v>1</v>
      </c>
    </row>
    <row r="27" spans="1:3" x14ac:dyDescent="0.35">
      <c r="A27" t="s">
        <v>19</v>
      </c>
      <c r="B27" t="s">
        <v>11</v>
      </c>
      <c r="C27">
        <v>1</v>
      </c>
    </row>
    <row r="28" spans="1:3" x14ac:dyDescent="0.35">
      <c r="A28" t="s">
        <v>19</v>
      </c>
      <c r="B28" t="s">
        <v>6</v>
      </c>
      <c r="C28">
        <v>3</v>
      </c>
    </row>
    <row r="29" spans="1:3" x14ac:dyDescent="0.35">
      <c r="A29" t="s">
        <v>19</v>
      </c>
      <c r="B29" t="s">
        <v>7</v>
      </c>
      <c r="C29">
        <v>1</v>
      </c>
    </row>
    <row r="30" spans="1:3" x14ac:dyDescent="0.35">
      <c r="A30" t="s">
        <v>19</v>
      </c>
      <c r="B30" t="s">
        <v>20</v>
      </c>
      <c r="C30">
        <v>8</v>
      </c>
    </row>
    <row r="31" spans="1:3" x14ac:dyDescent="0.35">
      <c r="A31" t="s">
        <v>19</v>
      </c>
      <c r="B31" t="s">
        <v>21</v>
      </c>
      <c r="C31">
        <v>4</v>
      </c>
    </row>
    <row r="32" spans="1:3" x14ac:dyDescent="0.35">
      <c r="A32" t="s">
        <v>19</v>
      </c>
      <c r="B32" t="s">
        <v>22</v>
      </c>
      <c r="C32">
        <v>46</v>
      </c>
    </row>
    <row r="33" spans="1:3" x14ac:dyDescent="0.35">
      <c r="A33" t="s">
        <v>19</v>
      </c>
      <c r="B33" t="s">
        <v>23</v>
      </c>
      <c r="C33">
        <v>1</v>
      </c>
    </row>
    <row r="34" spans="1:3" x14ac:dyDescent="0.35">
      <c r="A34" t="s">
        <v>24</v>
      </c>
      <c r="B34" t="s">
        <v>22</v>
      </c>
      <c r="C34">
        <v>1</v>
      </c>
    </row>
    <row r="35" spans="1:3" x14ac:dyDescent="0.35">
      <c r="A35" t="s">
        <v>24</v>
      </c>
      <c r="B35" t="s">
        <v>10</v>
      </c>
      <c r="C35">
        <v>1</v>
      </c>
    </row>
    <row r="36" spans="1:3" x14ac:dyDescent="0.35">
      <c r="A36" t="s">
        <v>24</v>
      </c>
      <c r="B36" t="s">
        <v>7</v>
      </c>
      <c r="C36">
        <v>1</v>
      </c>
    </row>
    <row r="37" spans="1:3" x14ac:dyDescent="0.35">
      <c r="A37" t="s">
        <v>24</v>
      </c>
      <c r="B37" t="s">
        <v>4</v>
      </c>
      <c r="C37">
        <v>2</v>
      </c>
    </row>
    <row r="38" spans="1:3" x14ac:dyDescent="0.35">
      <c r="A38" t="s">
        <v>25</v>
      </c>
      <c r="B38" t="s">
        <v>6</v>
      </c>
      <c r="C38">
        <v>1</v>
      </c>
    </row>
    <row r="39" spans="1:3" x14ac:dyDescent="0.35">
      <c r="A39" t="s">
        <v>25</v>
      </c>
      <c r="B39" t="s">
        <v>16</v>
      </c>
      <c r="C39">
        <v>1</v>
      </c>
    </row>
    <row r="40" spans="1:3" x14ac:dyDescent="0.35">
      <c r="A40" t="s">
        <v>25</v>
      </c>
      <c r="B40" t="s">
        <v>10</v>
      </c>
      <c r="C40">
        <v>11</v>
      </c>
    </row>
    <row r="41" spans="1:3" x14ac:dyDescent="0.35">
      <c r="A41" t="s">
        <v>25</v>
      </c>
      <c r="B41" t="s">
        <v>7</v>
      </c>
      <c r="C41">
        <v>3</v>
      </c>
    </row>
    <row r="42" spans="1:3" x14ac:dyDescent="0.35">
      <c r="A42" t="s">
        <v>26</v>
      </c>
      <c r="B42" t="s">
        <v>6</v>
      </c>
      <c r="C42">
        <v>93</v>
      </c>
    </row>
    <row r="43" spans="1:3" x14ac:dyDescent="0.35">
      <c r="A43" t="s">
        <v>26</v>
      </c>
      <c r="B43" t="s">
        <v>13</v>
      </c>
      <c r="C43">
        <v>248</v>
      </c>
    </row>
    <row r="44" spans="1:3" x14ac:dyDescent="0.35">
      <c r="A44" t="s">
        <v>26</v>
      </c>
      <c r="B44" t="s">
        <v>27</v>
      </c>
      <c r="C44">
        <v>379</v>
      </c>
    </row>
    <row r="45" spans="1:3" x14ac:dyDescent="0.35">
      <c r="A45" t="s">
        <v>26</v>
      </c>
      <c r="B45" t="s">
        <v>7</v>
      </c>
      <c r="C45">
        <v>53</v>
      </c>
    </row>
    <row r="46" spans="1:3" x14ac:dyDescent="0.35">
      <c r="A46" t="s">
        <v>26</v>
      </c>
      <c r="B46" t="s">
        <v>10</v>
      </c>
      <c r="C46">
        <v>32</v>
      </c>
    </row>
    <row r="47" spans="1:3" x14ac:dyDescent="0.35">
      <c r="A47" t="s">
        <v>26</v>
      </c>
      <c r="B47" t="s">
        <v>11</v>
      </c>
      <c r="C47">
        <v>98</v>
      </c>
    </row>
    <row r="48" spans="1:3" x14ac:dyDescent="0.35">
      <c r="A48" t="s">
        <v>26</v>
      </c>
      <c r="B48" t="s">
        <v>28</v>
      </c>
      <c r="C48">
        <v>276</v>
      </c>
    </row>
    <row r="49" spans="1:3" x14ac:dyDescent="0.35">
      <c r="A49" t="s">
        <v>26</v>
      </c>
      <c r="B49" t="s">
        <v>16</v>
      </c>
      <c r="C49">
        <v>5</v>
      </c>
    </row>
    <row r="50" spans="1:3" x14ac:dyDescent="0.35">
      <c r="A50" t="s">
        <v>26</v>
      </c>
      <c r="B50" t="s">
        <v>4</v>
      </c>
      <c r="C50">
        <v>37</v>
      </c>
    </row>
    <row r="1048574" spans="3:3" x14ac:dyDescent="0.35">
      <c r="C1048574">
        <f>SUM(C2:C1048573)</f>
        <v>1582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F9CEE-4F69-4157-B111-A42ADCEFA257}">
  <dimension ref="A3:E16"/>
  <sheetViews>
    <sheetView workbookViewId="0">
      <selection activeCell="G11" sqref="G11"/>
    </sheetView>
  </sheetViews>
  <sheetFormatPr defaultRowHeight="14.5" x14ac:dyDescent="0.35"/>
  <cols>
    <col min="1" max="1" width="27.54296875" bestFit="1" customWidth="1"/>
    <col min="2" max="2" width="22.08984375" bestFit="1" customWidth="1"/>
    <col min="4" max="4" width="27.54296875" bestFit="1" customWidth="1"/>
    <col min="5" max="5" width="22.08984375" bestFit="1" customWidth="1"/>
  </cols>
  <sheetData>
    <row r="3" spans="1:5" x14ac:dyDescent="0.35">
      <c r="A3" s="1" t="s">
        <v>0</v>
      </c>
      <c r="B3" t="s">
        <v>30</v>
      </c>
      <c r="D3" s="1" t="s">
        <v>0</v>
      </c>
      <c r="E3" t="s">
        <v>30</v>
      </c>
    </row>
    <row r="4" spans="1:5" x14ac:dyDescent="0.35">
      <c r="A4" s="2" t="s">
        <v>5</v>
      </c>
      <c r="B4">
        <v>45</v>
      </c>
      <c r="D4" s="2" t="s">
        <v>26</v>
      </c>
      <c r="E4">
        <v>1221</v>
      </c>
    </row>
    <row r="5" spans="1:5" x14ac:dyDescent="0.35">
      <c r="A5" s="2" t="s">
        <v>8</v>
      </c>
      <c r="B5">
        <v>2</v>
      </c>
      <c r="D5" s="2" t="s">
        <v>15</v>
      </c>
      <c r="E5">
        <v>109</v>
      </c>
    </row>
    <row r="6" spans="1:5" x14ac:dyDescent="0.35">
      <c r="A6" s="2" t="s">
        <v>9</v>
      </c>
      <c r="B6">
        <v>6</v>
      </c>
      <c r="D6" s="2" t="s">
        <v>19</v>
      </c>
      <c r="E6">
        <v>85</v>
      </c>
    </row>
    <row r="7" spans="1:5" x14ac:dyDescent="0.35">
      <c r="A7" s="2" t="s">
        <v>12</v>
      </c>
      <c r="B7">
        <v>56</v>
      </c>
      <c r="D7" s="2" t="s">
        <v>12</v>
      </c>
      <c r="E7">
        <v>56</v>
      </c>
    </row>
    <row r="8" spans="1:5" x14ac:dyDescent="0.35">
      <c r="A8" s="2" t="s">
        <v>14</v>
      </c>
      <c r="B8">
        <v>1</v>
      </c>
      <c r="D8" s="2" t="s">
        <v>5</v>
      </c>
      <c r="E8">
        <v>45</v>
      </c>
    </row>
    <row r="9" spans="1:5" x14ac:dyDescent="0.35">
      <c r="A9" s="2" t="s">
        <v>15</v>
      </c>
      <c r="B9">
        <v>109</v>
      </c>
      <c r="D9" s="2" t="s">
        <v>18</v>
      </c>
      <c r="E9">
        <v>35</v>
      </c>
    </row>
    <row r="10" spans="1:5" x14ac:dyDescent="0.35">
      <c r="A10" s="2" t="s">
        <v>17</v>
      </c>
      <c r="B10">
        <v>1</v>
      </c>
      <c r="D10" s="2" t="s">
        <v>25</v>
      </c>
      <c r="E10">
        <v>16</v>
      </c>
    </row>
    <row r="11" spans="1:5" x14ac:dyDescent="0.35">
      <c r="A11" s="2" t="s">
        <v>18</v>
      </c>
      <c r="B11">
        <v>35</v>
      </c>
      <c r="D11" s="2" t="s">
        <v>9</v>
      </c>
      <c r="E11">
        <v>6</v>
      </c>
    </row>
    <row r="12" spans="1:5" x14ac:dyDescent="0.35">
      <c r="A12" s="2" t="s">
        <v>19</v>
      </c>
      <c r="B12">
        <v>85</v>
      </c>
      <c r="D12" s="2" t="s">
        <v>24</v>
      </c>
      <c r="E12">
        <v>5</v>
      </c>
    </row>
    <row r="13" spans="1:5" x14ac:dyDescent="0.35">
      <c r="A13" s="2" t="s">
        <v>24</v>
      </c>
      <c r="B13">
        <v>5</v>
      </c>
      <c r="D13" s="2" t="s">
        <v>8</v>
      </c>
      <c r="E13">
        <v>2</v>
      </c>
    </row>
    <row r="14" spans="1:5" x14ac:dyDescent="0.35">
      <c r="A14" s="2" t="s">
        <v>25</v>
      </c>
      <c r="B14">
        <v>16</v>
      </c>
      <c r="D14" s="2" t="s">
        <v>14</v>
      </c>
      <c r="E14">
        <v>1</v>
      </c>
    </row>
    <row r="15" spans="1:5" x14ac:dyDescent="0.35">
      <c r="A15" s="2" t="s">
        <v>26</v>
      </c>
      <c r="B15">
        <v>1221</v>
      </c>
      <c r="D15" s="2" t="s">
        <v>17</v>
      </c>
      <c r="E15">
        <v>1</v>
      </c>
    </row>
    <row r="16" spans="1:5" x14ac:dyDescent="0.35">
      <c r="A16" s="2" t="s">
        <v>29</v>
      </c>
      <c r="B16">
        <v>1582</v>
      </c>
      <c r="D16" s="2" t="s">
        <v>29</v>
      </c>
      <c r="E16">
        <v>1582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5EB6F-2AF1-4665-BB99-72C08EFA5152}">
  <dimension ref="A3:B25"/>
  <sheetViews>
    <sheetView workbookViewId="0"/>
  </sheetViews>
  <sheetFormatPr defaultRowHeight="14.5" x14ac:dyDescent="0.35"/>
  <cols>
    <col min="1" max="1" width="29.453125" bestFit="1" customWidth="1"/>
    <col min="2" max="2" width="22.08984375" bestFit="1" customWidth="1"/>
  </cols>
  <sheetData>
    <row r="3" spans="1:2" x14ac:dyDescent="0.35">
      <c r="A3" s="1" t="s">
        <v>0</v>
      </c>
      <c r="B3" t="s">
        <v>30</v>
      </c>
    </row>
    <row r="4" spans="1:2" x14ac:dyDescent="0.35">
      <c r="A4" s="2" t="s">
        <v>26</v>
      </c>
      <c r="B4">
        <v>1221</v>
      </c>
    </row>
    <row r="5" spans="1:2" x14ac:dyDescent="0.35">
      <c r="A5" s="3" t="s">
        <v>16</v>
      </c>
      <c r="B5">
        <v>5</v>
      </c>
    </row>
    <row r="6" spans="1:2" x14ac:dyDescent="0.35">
      <c r="A6" s="3" t="s">
        <v>13</v>
      </c>
      <c r="B6">
        <v>248</v>
      </c>
    </row>
    <row r="7" spans="1:2" x14ac:dyDescent="0.35">
      <c r="A7" s="3" t="s">
        <v>11</v>
      </c>
      <c r="B7">
        <v>98</v>
      </c>
    </row>
    <row r="8" spans="1:2" x14ac:dyDescent="0.35">
      <c r="A8" s="3" t="s">
        <v>28</v>
      </c>
      <c r="B8">
        <v>276</v>
      </c>
    </row>
    <row r="9" spans="1:2" x14ac:dyDescent="0.35">
      <c r="A9" s="3" t="s">
        <v>6</v>
      </c>
      <c r="B9">
        <v>93</v>
      </c>
    </row>
    <row r="10" spans="1:2" x14ac:dyDescent="0.35">
      <c r="A10" s="3" t="s">
        <v>4</v>
      </c>
      <c r="B10">
        <v>37</v>
      </c>
    </row>
    <row r="11" spans="1:2" x14ac:dyDescent="0.35">
      <c r="A11" s="3" t="s">
        <v>7</v>
      </c>
      <c r="B11">
        <v>53</v>
      </c>
    </row>
    <row r="12" spans="1:2" x14ac:dyDescent="0.35">
      <c r="A12" s="3" t="s">
        <v>27</v>
      </c>
      <c r="B12">
        <v>379</v>
      </c>
    </row>
    <row r="13" spans="1:2" x14ac:dyDescent="0.35">
      <c r="A13" s="3" t="s">
        <v>10</v>
      </c>
      <c r="B13">
        <v>32</v>
      </c>
    </row>
    <row r="14" spans="1:2" x14ac:dyDescent="0.35">
      <c r="A14" s="2" t="s">
        <v>15</v>
      </c>
      <c r="B14">
        <v>109</v>
      </c>
    </row>
    <row r="15" spans="1:2" x14ac:dyDescent="0.35">
      <c r="A15" s="2" t="s">
        <v>19</v>
      </c>
      <c r="B15">
        <v>85</v>
      </c>
    </row>
    <row r="16" spans="1:2" x14ac:dyDescent="0.35">
      <c r="A16" s="2" t="s">
        <v>12</v>
      </c>
      <c r="B16">
        <v>56</v>
      </c>
    </row>
    <row r="17" spans="1:2" x14ac:dyDescent="0.35">
      <c r="A17" s="2" t="s">
        <v>5</v>
      </c>
      <c r="B17">
        <v>45</v>
      </c>
    </row>
    <row r="18" spans="1:2" x14ac:dyDescent="0.35">
      <c r="A18" s="2" t="s">
        <v>18</v>
      </c>
      <c r="B18">
        <v>35</v>
      </c>
    </row>
    <row r="19" spans="1:2" x14ac:dyDescent="0.35">
      <c r="A19" s="2" t="s">
        <v>25</v>
      </c>
      <c r="B19">
        <v>16</v>
      </c>
    </row>
    <row r="20" spans="1:2" x14ac:dyDescent="0.35">
      <c r="A20" s="2" t="s">
        <v>9</v>
      </c>
      <c r="B20">
        <v>6</v>
      </c>
    </row>
    <row r="21" spans="1:2" x14ac:dyDescent="0.35">
      <c r="A21" s="2" t="s">
        <v>24</v>
      </c>
      <c r="B21">
        <v>5</v>
      </c>
    </row>
    <row r="22" spans="1:2" x14ac:dyDescent="0.35">
      <c r="A22" s="2" t="s">
        <v>8</v>
      </c>
      <c r="B22">
        <v>2</v>
      </c>
    </row>
    <row r="23" spans="1:2" x14ac:dyDescent="0.35">
      <c r="A23" s="2" t="s">
        <v>14</v>
      </c>
      <c r="B23">
        <v>1</v>
      </c>
    </row>
    <row r="24" spans="1:2" x14ac:dyDescent="0.35">
      <c r="A24" s="2" t="s">
        <v>17</v>
      </c>
      <c r="B24">
        <v>1</v>
      </c>
    </row>
    <row r="25" spans="1:2" x14ac:dyDescent="0.35">
      <c r="A25" s="2" t="s">
        <v>29</v>
      </c>
      <c r="B25">
        <v>1582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A2125-C083-4056-9D2F-C82B53B7F49B}">
  <dimension ref="A3:B21"/>
  <sheetViews>
    <sheetView workbookViewId="0">
      <selection activeCell="E6" sqref="E6"/>
    </sheetView>
  </sheetViews>
  <sheetFormatPr defaultRowHeight="14.5" x14ac:dyDescent="0.35"/>
  <cols>
    <col min="1" max="1" width="26.36328125" bestFit="1" customWidth="1"/>
    <col min="2" max="2" width="22.08984375" bestFit="1" customWidth="1"/>
  </cols>
  <sheetData>
    <row r="3" spans="1:2" x14ac:dyDescent="0.35">
      <c r="A3" s="1" t="s">
        <v>0</v>
      </c>
      <c r="B3" t="s">
        <v>30</v>
      </c>
    </row>
    <row r="4" spans="1:2" x14ac:dyDescent="0.35">
      <c r="A4" s="2" t="s">
        <v>16</v>
      </c>
      <c r="B4">
        <v>15</v>
      </c>
    </row>
    <row r="5" spans="1:2" x14ac:dyDescent="0.35">
      <c r="A5" s="3" t="s">
        <v>15</v>
      </c>
      <c r="B5">
        <v>9</v>
      </c>
    </row>
    <row r="6" spans="1:2" x14ac:dyDescent="0.35">
      <c r="A6" s="3" t="s">
        <v>26</v>
      </c>
      <c r="B6">
        <v>5</v>
      </c>
    </row>
    <row r="7" spans="1:2" x14ac:dyDescent="0.35">
      <c r="A7" s="3" t="s">
        <v>25</v>
      </c>
      <c r="B7">
        <v>1</v>
      </c>
    </row>
    <row r="8" spans="1:2" x14ac:dyDescent="0.35">
      <c r="A8" s="2" t="s">
        <v>13</v>
      </c>
      <c r="B8">
        <v>290</v>
      </c>
    </row>
    <row r="9" spans="1:2" x14ac:dyDescent="0.35">
      <c r="A9" s="2" t="s">
        <v>11</v>
      </c>
      <c r="B9">
        <v>100</v>
      </c>
    </row>
    <row r="10" spans="1:2" x14ac:dyDescent="0.35">
      <c r="A10" s="2" t="s">
        <v>28</v>
      </c>
      <c r="B10">
        <v>283</v>
      </c>
    </row>
    <row r="11" spans="1:2" x14ac:dyDescent="0.35">
      <c r="A11" s="2" t="s">
        <v>6</v>
      </c>
      <c r="B11">
        <v>150</v>
      </c>
    </row>
    <row r="12" spans="1:2" x14ac:dyDescent="0.35">
      <c r="A12" s="2" t="s">
        <v>21</v>
      </c>
      <c r="B12">
        <v>4</v>
      </c>
    </row>
    <row r="13" spans="1:2" x14ac:dyDescent="0.35">
      <c r="A13" s="2" t="s">
        <v>23</v>
      </c>
      <c r="B13">
        <v>1</v>
      </c>
    </row>
    <row r="14" spans="1:2" x14ac:dyDescent="0.35">
      <c r="A14" s="2" t="s">
        <v>22</v>
      </c>
      <c r="B14">
        <v>47</v>
      </c>
    </row>
    <row r="15" spans="1:2" x14ac:dyDescent="0.35">
      <c r="A15" s="2" t="s">
        <v>3</v>
      </c>
      <c r="B15">
        <v>20</v>
      </c>
    </row>
    <row r="16" spans="1:2" x14ac:dyDescent="0.35">
      <c r="A16" s="2" t="s">
        <v>20</v>
      </c>
      <c r="B16">
        <v>8</v>
      </c>
    </row>
    <row r="17" spans="1:2" x14ac:dyDescent="0.35">
      <c r="A17" s="2" t="s">
        <v>4</v>
      </c>
      <c r="B17">
        <v>130</v>
      </c>
    </row>
    <row r="18" spans="1:2" x14ac:dyDescent="0.35">
      <c r="A18" s="2" t="s">
        <v>7</v>
      </c>
      <c r="B18">
        <v>90</v>
      </c>
    </row>
    <row r="19" spans="1:2" x14ac:dyDescent="0.35">
      <c r="A19" s="2" t="s">
        <v>27</v>
      </c>
      <c r="B19">
        <v>379</v>
      </c>
    </row>
    <row r="20" spans="1:2" x14ac:dyDescent="0.35">
      <c r="A20" s="2" t="s">
        <v>10</v>
      </c>
      <c r="B20">
        <v>65</v>
      </c>
    </row>
    <row r="21" spans="1:2" x14ac:dyDescent="0.35">
      <c r="A21" s="2" t="s">
        <v>29</v>
      </c>
      <c r="B21">
        <v>1582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Guidelines </vt:lpstr>
      <vt:lpstr>Montgomery_Fleet_Equipment_Inve</vt:lpstr>
      <vt:lpstr>Pivot1</vt:lpstr>
      <vt:lpstr>Pivot2</vt:lpstr>
      <vt:lpstr>Pivot3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Ismi Ana</cp:lastModifiedBy>
  <dcterms:created xsi:type="dcterms:W3CDTF">2020-09-01T17:18:12Z</dcterms:created>
  <dcterms:modified xsi:type="dcterms:W3CDTF">2025-11-08T06:03:50Z</dcterms:modified>
</cp:coreProperties>
</file>